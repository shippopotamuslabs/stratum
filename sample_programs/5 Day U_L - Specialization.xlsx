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" sheetId="1" r:id="rId5"/>
    <sheet state="visible" name="VolumeLookup" sheetId="2" r:id="rId6"/>
  </sheets>
  <definedNames/>
  <calcPr/>
</workbook>
</file>

<file path=xl/sharedStrings.xml><?xml version="1.0" encoding="utf-8"?>
<sst xmlns="http://schemas.openxmlformats.org/spreadsheetml/2006/main" count="150" uniqueCount="76">
  <si>
    <t>Day</t>
  </si>
  <si>
    <t>Movement Pattern</t>
  </si>
  <si>
    <t>Lift Name</t>
  </si>
  <si>
    <t>Volume Type</t>
  </si>
  <si>
    <t>Sets</t>
  </si>
  <si>
    <t>Rep Range</t>
  </si>
  <si>
    <t>Horizontal Press (Chest/Tris)</t>
  </si>
  <si>
    <t>Incline DB Bench Press</t>
  </si>
  <si>
    <t>Vertical Pull (Back/Bis)</t>
  </si>
  <si>
    <t>High Row (Nautilus)</t>
  </si>
  <si>
    <t>Back/Bis</t>
  </si>
  <si>
    <t>Chest Isolation (Chest)</t>
  </si>
  <si>
    <t>Chest Press (Nautilus)</t>
  </si>
  <si>
    <t>Chest</t>
  </si>
  <si>
    <t>10-12</t>
  </si>
  <si>
    <t>Upper A (Sunday)</t>
  </si>
  <si>
    <t>Horizontal Pull (Back/Bis)</t>
  </si>
  <si>
    <t>Chest Supported Row (Nautilus)</t>
  </si>
  <si>
    <t>Triceps Isolation (Triceps)</t>
  </si>
  <si>
    <t>DB Skullcrushers</t>
  </si>
  <si>
    <t>Triceps</t>
  </si>
  <si>
    <t>Biceps Isolation (Biceps)</t>
  </si>
  <si>
    <t>Incline DB Curl</t>
  </si>
  <si>
    <t>Biceps</t>
  </si>
  <si>
    <t>Lateral Delt Isolation (Delts)</t>
  </si>
  <si>
    <t>Lateral Raise (Cable Cuff)</t>
  </si>
  <si>
    <t>Delts</t>
  </si>
  <si>
    <t>10-15</t>
  </si>
  <si>
    <t>Calves</t>
  </si>
  <si>
    <t>Standing Calf Raise (Smith)</t>
  </si>
  <si>
    <t>12-18</t>
  </si>
  <si>
    <t>Leg Push (Quads)</t>
  </si>
  <si>
    <t>Hack Squat</t>
  </si>
  <si>
    <t>Quads</t>
  </si>
  <si>
    <t>Lower A (Monday)</t>
  </si>
  <si>
    <t>Hip Hinge (Hamstrings)</t>
  </si>
  <si>
    <t>Deadlift (Nautilus)</t>
  </si>
  <si>
    <t>Hamstring/Glute</t>
  </si>
  <si>
    <t>Quad Isolation (Quads)</t>
  </si>
  <si>
    <t>Single Leg Press (Machine)</t>
  </si>
  <si>
    <t>Hamstring Isolation (Hamstrings)</t>
  </si>
  <si>
    <t>Lying Leg Curl</t>
  </si>
  <si>
    <t>Hamstrings</t>
  </si>
  <si>
    <t>Abs</t>
  </si>
  <si>
    <t>Ab Machine (Hoist)</t>
  </si>
  <si>
    <t>Myo-Match</t>
  </si>
  <si>
    <t>Upper B (Wendesday)</t>
  </si>
  <si>
    <t>Tricep Isolation (Triceps)</t>
  </si>
  <si>
    <t>Katana Extension (Freemotion)</t>
  </si>
  <si>
    <t>Rear-Delt Cable Fly (Freemotion)</t>
  </si>
  <si>
    <t>12-15</t>
  </si>
  <si>
    <t>Preacher Curl (Nautilus)</t>
  </si>
  <si>
    <t>Horizontal Push (Chest/Tris)</t>
  </si>
  <si>
    <t>Incline Bench Press</t>
  </si>
  <si>
    <t>Leg Press</t>
  </si>
  <si>
    <t>RDL</t>
  </si>
  <si>
    <t>Lower B (Thursday)</t>
  </si>
  <si>
    <t>Leg Extensions</t>
  </si>
  <si>
    <t>Glute Drive</t>
  </si>
  <si>
    <t>Glute/Hamstring</t>
  </si>
  <si>
    <t>8-10</t>
  </si>
  <si>
    <t>Lateral Raise (DB Incline Bench)</t>
  </si>
  <si>
    <t>Incline Chest Press (Nautilus)</t>
  </si>
  <si>
    <t>Lat Pulldown (Neutral Grip)</t>
  </si>
  <si>
    <t>Upper C (Friday)</t>
  </si>
  <si>
    <t>Chest Iso (Chest/Tris)</t>
  </si>
  <si>
    <t>Single Arm Low to High Fly (Cable)</t>
  </si>
  <si>
    <t>Chest/Tris</t>
  </si>
  <si>
    <t>Seated Row (Cable Wide Grip)</t>
  </si>
  <si>
    <t>Kassem Extension (Cable)</t>
  </si>
  <si>
    <t>Bicep Isolation (Biceps)</t>
  </si>
  <si>
    <t xml:space="preserve">Hammer Curl (Cable Rope) </t>
  </si>
  <si>
    <t>Muscle Group</t>
  </si>
  <si>
    <t>Volume</t>
  </si>
  <si>
    <t>Back</t>
  </si>
  <si>
    <t>Glutes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</si>
</sst>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2" numFmtId="164" xfId="0" applyAlignment="1" applyBorder="1" applyFont="1" applyNumberForma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2" fillId="0" fontId="2" numFmtId="49" xfId="0" applyAlignment="1" applyBorder="1" applyFont="1" applyNumberForma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4" fillId="0" fontId="2" numFmtId="49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5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7" fillId="0" fontId="2" numFmtId="49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4" fontId="2" numFmtId="0" xfId="0" applyAlignment="1" applyBorder="1" applyFont="1">
      <alignment readingOrder="0" shrinkToFit="0" vertical="center" wrapText="0"/>
    </xf>
    <xf borderId="7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7" fontId="2" numFmtId="0" xfId="0" applyFill="1" applyFont="1"/>
    <xf borderId="0" fillId="8" fontId="2" numFmtId="0" xfId="0" applyAlignment="1" applyFill="1" applyFont="1">
      <alignment readingOrder="0" shrinkToFit="0" vertical="center" wrapText="0"/>
    </xf>
    <xf borderId="0" fillId="7" fontId="2" numFmtId="0" xfId="0" applyAlignment="1" applyFont="1">
      <alignment readingOrder="0"/>
    </xf>
    <xf borderId="4" fillId="0" fontId="2" numFmtId="0" xfId="0" applyAlignment="1" applyBorder="1" applyFont="1">
      <alignment shrinkToFit="0" vertical="center" wrapText="0"/>
    </xf>
    <xf borderId="4" fillId="8" fontId="2" numFmtId="0" xfId="0" applyAlignment="1" applyBorder="1" applyFont="1">
      <alignment readingOrder="0" shrinkToFit="0" vertical="center" wrapText="0"/>
    </xf>
    <xf borderId="5" fillId="0" fontId="2" numFmtId="49" xfId="0" applyAlignment="1" applyBorder="1" applyFont="1" applyNumberFormat="1">
      <alignment readingOrder="0"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rogr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gram-style 2">
      <tableStyleElement dxfId="2" type="firstRowStripe"/>
      <tableStyleElement dxfId="3" type="secondRowStripe"/>
    </tableStyle>
    <tableStyle count="4" pivot="0" name="Program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" displayName="Workout" name="Workout" id="1">
  <tableColumns count="6">
    <tableColumn name="Day" id="1"/>
    <tableColumn name="Movement Pattern" id="2"/>
    <tableColumn name="Lift Name" id="3"/>
    <tableColumn name="Volume Type" id="4"/>
    <tableColumn name="Sets" id="5"/>
    <tableColumn name="Rep Range" id="6"/>
  </tableColumns>
  <tableStyleInfo name="Program-style" showColumnStripes="0" showFirstColumn="1" showLastColumn="1" showRowStripes="1"/>
</table>
</file>

<file path=xl/tables/table2.xml><?xml version="1.0" encoding="utf-8"?>
<table xmlns="http://schemas.openxmlformats.org/spreadsheetml/2006/main" headerRowCount="0" ref="H20:I25" displayName="Table_1" name="Table_1" id="2">
  <tableColumns count="2">
    <tableColumn name="Column1" id="1"/>
    <tableColumn name="Column2" id="2"/>
  </tableColumns>
  <tableStyleInfo name="Program-style 2" showColumnStripes="0" showFirstColumn="1" showLastColumn="1" showRowStripes="1"/>
</table>
</file>

<file path=xl/tables/table3.xml><?xml version="1.0" encoding="utf-8"?>
<table xmlns="http://schemas.openxmlformats.org/spreadsheetml/2006/main" ref="A36:B46" displayName="Volume" name="Volume" id="3">
  <tableColumns count="2">
    <tableColumn name="Muscle Group" id="1"/>
    <tableColumn name="Volume" id="2"/>
  </tableColumns>
  <tableStyleInfo name="Program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3" width="37.63"/>
    <col customWidth="1" min="4" max="4" width="16.0"/>
    <col customWidth="1" min="5" max="5" width="14.38"/>
    <col customWidth="1" min="6" max="6" width="16.75"/>
    <col customWidth="1" min="7" max="10" width="14.38"/>
    <col customWidth="1" min="11" max="11" width="21.75"/>
    <col customWidth="1" min="12" max="12" width="16.75"/>
    <col customWidth="1" min="13" max="13" width="8.75"/>
    <col customWidth="1" min="14" max="14" width="27.25"/>
    <col customWidth="1" min="15" max="33" width="14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/>
      <c r="B2" s="4" t="s">
        <v>6</v>
      </c>
      <c r="C2" s="5" t="s">
        <v>7</v>
      </c>
      <c r="D2" s="4" t="str">
        <f>MID(B2,FIND(" (",B2) + 1 + 1,FIND(")",B2) - 1 - (FIND(" (",B2) + 1))</f>
        <v>Chest/Tris</v>
      </c>
      <c r="E2" s="6">
        <v>4.0</v>
      </c>
      <c r="F2" s="7">
        <v>45879.0</v>
      </c>
    </row>
    <row r="3" ht="22.5" customHeight="1">
      <c r="A3" s="8"/>
      <c r="B3" s="4" t="s">
        <v>8</v>
      </c>
      <c r="C3" s="5" t="s">
        <v>9</v>
      </c>
      <c r="D3" s="4" t="s">
        <v>10</v>
      </c>
      <c r="E3" s="6">
        <v>3.0</v>
      </c>
      <c r="F3" s="7">
        <v>45879.0</v>
      </c>
    </row>
    <row r="4" ht="22.5" customHeight="1">
      <c r="A4" s="8"/>
      <c r="B4" s="4" t="s">
        <v>11</v>
      </c>
      <c r="C4" s="9" t="s">
        <v>12</v>
      </c>
      <c r="D4" s="4" t="s">
        <v>13</v>
      </c>
      <c r="E4" s="6">
        <v>4.0</v>
      </c>
      <c r="F4" s="10" t="s">
        <v>14</v>
      </c>
    </row>
    <row r="5" ht="22.5" customHeight="1">
      <c r="A5" s="11" t="s">
        <v>15</v>
      </c>
      <c r="B5" s="4" t="s">
        <v>16</v>
      </c>
      <c r="C5" s="9" t="s">
        <v>17</v>
      </c>
      <c r="D5" s="4" t="s">
        <v>10</v>
      </c>
      <c r="E5" s="6">
        <v>2.0</v>
      </c>
      <c r="F5" s="7">
        <v>45879.0</v>
      </c>
    </row>
    <row r="6" ht="22.5" customHeight="1">
      <c r="A6" s="8"/>
      <c r="B6" s="4" t="s">
        <v>18</v>
      </c>
      <c r="C6" s="12" t="s">
        <v>19</v>
      </c>
      <c r="D6" s="4" t="s">
        <v>20</v>
      </c>
      <c r="E6" s="6">
        <v>4.0</v>
      </c>
      <c r="F6" s="13" t="s">
        <v>14</v>
      </c>
    </row>
    <row r="7" ht="22.5" customHeight="1">
      <c r="A7" s="14"/>
      <c r="B7" s="4" t="s">
        <v>21</v>
      </c>
      <c r="C7" s="12" t="s">
        <v>22</v>
      </c>
      <c r="D7" s="4" t="s">
        <v>23</v>
      </c>
      <c r="E7" s="6">
        <v>4.0</v>
      </c>
      <c r="F7" s="10" t="s">
        <v>14</v>
      </c>
    </row>
    <row r="8" ht="22.5" customHeight="1">
      <c r="A8" s="14"/>
      <c r="B8" s="4" t="s">
        <v>24</v>
      </c>
      <c r="C8" s="4" t="s">
        <v>25</v>
      </c>
      <c r="D8" s="4" t="s">
        <v>26</v>
      </c>
      <c r="E8" s="6">
        <v>5.0</v>
      </c>
      <c r="F8" s="15" t="s">
        <v>27</v>
      </c>
    </row>
    <row r="9" ht="22.5" customHeight="1">
      <c r="A9" s="3"/>
      <c r="B9" s="16" t="s">
        <v>28</v>
      </c>
      <c r="C9" s="16" t="s">
        <v>29</v>
      </c>
      <c r="D9" s="16" t="s">
        <v>28</v>
      </c>
      <c r="E9" s="17">
        <v>5.0</v>
      </c>
      <c r="F9" s="10" t="s">
        <v>30</v>
      </c>
    </row>
    <row r="10" ht="22.5" customHeight="1">
      <c r="A10" s="8"/>
      <c r="B10" s="4" t="s">
        <v>31</v>
      </c>
      <c r="C10" s="4" t="s">
        <v>32</v>
      </c>
      <c r="D10" s="4" t="s">
        <v>33</v>
      </c>
      <c r="E10" s="18">
        <v>2.0</v>
      </c>
      <c r="F10" s="7">
        <v>45879.0</v>
      </c>
    </row>
    <row r="11" ht="22.5" customHeight="1">
      <c r="A11" s="11" t="s">
        <v>34</v>
      </c>
      <c r="B11" s="4" t="s">
        <v>35</v>
      </c>
      <c r="C11" s="4" t="s">
        <v>36</v>
      </c>
      <c r="D11" s="4" t="s">
        <v>37</v>
      </c>
      <c r="E11" s="6">
        <v>4.0</v>
      </c>
      <c r="F11" s="7">
        <v>45879.0</v>
      </c>
    </row>
    <row r="12" ht="22.5" customHeight="1">
      <c r="A12" s="11"/>
      <c r="B12" s="4" t="s">
        <v>38</v>
      </c>
      <c r="C12" s="19" t="s">
        <v>39</v>
      </c>
      <c r="D12" s="4" t="s">
        <v>33</v>
      </c>
      <c r="E12" s="6">
        <v>3.0</v>
      </c>
      <c r="F12" s="10" t="s">
        <v>14</v>
      </c>
    </row>
    <row r="13" ht="22.5" customHeight="1">
      <c r="A13" s="20"/>
      <c r="B13" s="21" t="s">
        <v>40</v>
      </c>
      <c r="C13" s="22" t="s">
        <v>41</v>
      </c>
      <c r="D13" s="21" t="s">
        <v>42</v>
      </c>
      <c r="E13" s="23">
        <v>5.0</v>
      </c>
      <c r="F13" s="10" t="s">
        <v>14</v>
      </c>
    </row>
    <row r="14" ht="22.5" customHeight="1">
      <c r="A14" s="3"/>
      <c r="B14" s="4" t="s">
        <v>28</v>
      </c>
      <c r="C14" s="4" t="s">
        <v>29</v>
      </c>
      <c r="D14" s="4" t="s">
        <v>28</v>
      </c>
      <c r="E14" s="6">
        <v>5.0</v>
      </c>
      <c r="F14" s="24" t="s">
        <v>30</v>
      </c>
    </row>
    <row r="15" ht="22.5" customHeight="1">
      <c r="B15" s="4" t="s">
        <v>43</v>
      </c>
      <c r="C15" s="4" t="s">
        <v>44</v>
      </c>
      <c r="D15" s="4" t="s">
        <v>43</v>
      </c>
      <c r="E15" s="6">
        <v>4.0</v>
      </c>
      <c r="F15" s="25" t="s">
        <v>45</v>
      </c>
    </row>
    <row r="16" ht="22.5" customHeight="1">
      <c r="A16" s="11" t="s">
        <v>46</v>
      </c>
      <c r="B16" s="26" t="s">
        <v>47</v>
      </c>
      <c r="C16" s="27" t="s">
        <v>48</v>
      </c>
      <c r="D16" s="4" t="s">
        <v>20</v>
      </c>
      <c r="E16" s="6">
        <v>4.0</v>
      </c>
      <c r="F16" s="10" t="s">
        <v>27</v>
      </c>
    </row>
    <row r="17" ht="22.5" customHeight="1">
      <c r="B17" s="26" t="s">
        <v>24</v>
      </c>
      <c r="C17" s="27" t="s">
        <v>49</v>
      </c>
      <c r="D17" s="4" t="s">
        <v>26</v>
      </c>
      <c r="E17" s="6">
        <v>5.0</v>
      </c>
      <c r="F17" s="13" t="s">
        <v>50</v>
      </c>
    </row>
    <row r="18" ht="22.5" customHeight="1">
      <c r="B18" s="4" t="s">
        <v>21</v>
      </c>
      <c r="C18" s="12" t="s">
        <v>51</v>
      </c>
      <c r="D18" s="4" t="s">
        <v>23</v>
      </c>
      <c r="E18" s="6">
        <v>4.0</v>
      </c>
      <c r="F18" s="28">
        <v>45945.0</v>
      </c>
    </row>
    <row r="19" ht="22.5" customHeight="1">
      <c r="A19" s="8"/>
      <c r="B19" s="29" t="s">
        <v>52</v>
      </c>
      <c r="C19" s="30" t="s">
        <v>53</v>
      </c>
      <c r="D19" s="21" t="str">
        <f>MID(B19,FIND(" (",B19) + 1 + 1,FIND(")",B19) - 1 - (FIND(" (",B19) + 1))</f>
        <v>Chest/Tris</v>
      </c>
      <c r="E19" s="6">
        <v>4.0</v>
      </c>
      <c r="F19" s="7">
        <v>45879.0</v>
      </c>
    </row>
    <row r="20" ht="22.5" customHeight="1">
      <c r="A20" s="3"/>
      <c r="B20" s="26" t="s">
        <v>31</v>
      </c>
      <c r="C20" s="4" t="s">
        <v>54</v>
      </c>
      <c r="D20" s="4" t="s">
        <v>33</v>
      </c>
      <c r="E20" s="17">
        <v>3.0</v>
      </c>
      <c r="F20" s="31">
        <v>45879.0</v>
      </c>
      <c r="I20" s="32"/>
    </row>
    <row r="21" ht="22.5" customHeight="1">
      <c r="A21" s="8"/>
      <c r="B21" s="26" t="s">
        <v>35</v>
      </c>
      <c r="C21" s="4" t="s">
        <v>55</v>
      </c>
      <c r="D21" s="4" t="s">
        <v>37</v>
      </c>
      <c r="E21" s="6">
        <v>4.0</v>
      </c>
      <c r="F21" s="7">
        <v>45879.0</v>
      </c>
      <c r="H21" s="33"/>
      <c r="I21" s="33"/>
    </row>
    <row r="22" ht="22.5" customHeight="1">
      <c r="A22" s="11" t="s">
        <v>56</v>
      </c>
      <c r="B22" s="26" t="s">
        <v>38</v>
      </c>
      <c r="C22" s="4" t="s">
        <v>57</v>
      </c>
      <c r="D22" s="4" t="s">
        <v>33</v>
      </c>
      <c r="E22" s="6">
        <v>2.0</v>
      </c>
      <c r="F22" s="10" t="s">
        <v>27</v>
      </c>
    </row>
    <row r="23" ht="22.5" customHeight="1">
      <c r="A23" s="14"/>
      <c r="B23" s="26" t="s">
        <v>40</v>
      </c>
      <c r="C23" s="34" t="s">
        <v>58</v>
      </c>
      <c r="D23" s="26" t="s">
        <v>59</v>
      </c>
      <c r="E23" s="6">
        <v>4.0</v>
      </c>
      <c r="F23" s="10" t="s">
        <v>60</v>
      </c>
      <c r="H23" s="33"/>
      <c r="I23" s="35"/>
    </row>
    <row r="24" ht="22.5" customHeight="1">
      <c r="A24" s="36"/>
      <c r="B24" s="21" t="s">
        <v>24</v>
      </c>
      <c r="C24" s="37" t="s">
        <v>61</v>
      </c>
      <c r="D24" s="21" t="s">
        <v>26</v>
      </c>
      <c r="E24" s="23">
        <v>4.0</v>
      </c>
      <c r="F24" s="10" t="s">
        <v>27</v>
      </c>
      <c r="I24" s="32"/>
    </row>
    <row r="25" ht="22.5" customHeight="1">
      <c r="A25" s="3"/>
      <c r="B25" s="4" t="s">
        <v>28</v>
      </c>
      <c r="C25" s="4" t="s">
        <v>29</v>
      </c>
      <c r="D25" s="4" t="s">
        <v>28</v>
      </c>
      <c r="E25" s="6">
        <v>5.0</v>
      </c>
      <c r="F25" s="38" t="s">
        <v>30</v>
      </c>
    </row>
    <row r="26" ht="22.5" customHeight="1">
      <c r="A26" s="8"/>
      <c r="B26" s="26" t="s">
        <v>52</v>
      </c>
      <c r="C26" s="27" t="s">
        <v>62</v>
      </c>
      <c r="D26" s="4" t="str">
        <f>MID(B26,FIND(" (",B26) + 1 + 1,FIND(")",B26) - 1 - (FIND(" (",B26) + 1))</f>
        <v>Chest/Tris</v>
      </c>
      <c r="E26" s="6">
        <v>4.0</v>
      </c>
      <c r="F26" s="28">
        <v>45879.0</v>
      </c>
    </row>
    <row r="27" ht="22.5" customHeight="1">
      <c r="B27" s="26" t="s">
        <v>8</v>
      </c>
      <c r="C27" s="27" t="s">
        <v>63</v>
      </c>
      <c r="D27" s="4" t="s">
        <v>10</v>
      </c>
      <c r="E27" s="6">
        <v>2.0</v>
      </c>
      <c r="F27" s="7">
        <v>45942.0</v>
      </c>
    </row>
    <row r="28" ht="22.5" customHeight="1">
      <c r="A28" s="11" t="s">
        <v>64</v>
      </c>
      <c r="B28" s="4" t="s">
        <v>65</v>
      </c>
      <c r="C28" s="12" t="s">
        <v>66</v>
      </c>
      <c r="D28" s="4" t="s">
        <v>67</v>
      </c>
      <c r="E28" s="6">
        <v>4.0</v>
      </c>
      <c r="F28" s="28">
        <v>45942.0</v>
      </c>
    </row>
    <row r="29" ht="22.5" customHeight="1">
      <c r="A29" s="8"/>
      <c r="B29" s="4" t="s">
        <v>16</v>
      </c>
      <c r="C29" s="12" t="s">
        <v>68</v>
      </c>
      <c r="D29" s="4" t="s">
        <v>10</v>
      </c>
      <c r="E29" s="6">
        <v>3.0</v>
      </c>
      <c r="F29" s="13" t="s">
        <v>60</v>
      </c>
    </row>
    <row r="30" ht="22.5" customHeight="1">
      <c r="A30" s="8"/>
      <c r="B30" s="26" t="s">
        <v>47</v>
      </c>
      <c r="C30" s="9" t="s">
        <v>69</v>
      </c>
      <c r="D30" s="4" t="s">
        <v>20</v>
      </c>
      <c r="E30" s="6">
        <v>4.0</v>
      </c>
      <c r="F30" s="7">
        <v>45942.0</v>
      </c>
    </row>
    <row r="31" ht="22.5" customHeight="1">
      <c r="A31" s="20"/>
      <c r="B31" s="29" t="s">
        <v>70</v>
      </c>
      <c r="C31" s="39" t="s">
        <v>71</v>
      </c>
      <c r="D31" s="21" t="s">
        <v>23</v>
      </c>
      <c r="E31" s="23">
        <v>4.0</v>
      </c>
      <c r="F31" s="10" t="s">
        <v>60</v>
      </c>
    </row>
    <row r="33" ht="15.75" customHeight="1"/>
    <row r="34" ht="15.75" customHeight="1"/>
    <row r="35" ht="15.75" customHeight="1"/>
    <row r="36" ht="15.75" customHeight="1">
      <c r="A36" s="40" t="s">
        <v>72</v>
      </c>
      <c r="B36" s="40" t="s">
        <v>73</v>
      </c>
    </row>
    <row r="37" ht="15.75" customHeight="1">
      <c r="A37" s="4" t="s">
        <v>13</v>
      </c>
      <c r="B37" s="18">
        <f>SUMPRODUCT(Workout[Sets], VLOOKUP(Workout[Volume Type], VolumeLookup!$A$2:$J$13, 2, FALSE))
</f>
        <v>20</v>
      </c>
    </row>
    <row r="38" ht="15.75" customHeight="1">
      <c r="A38" s="4" t="s">
        <v>74</v>
      </c>
      <c r="B38" s="18">
        <f>SUMPRODUCT(Workout[Sets], VLOOKUP(Workout[Volume Type], VolumeLookup!$A$2:$J$13, 4, FALSE))
</f>
        <v>10</v>
      </c>
    </row>
    <row r="39" ht="15.75" customHeight="1">
      <c r="A39" s="4" t="s">
        <v>20</v>
      </c>
      <c r="B39" s="18">
        <f>SUMPRODUCT(Workout[Sets], VLOOKUP(Workout[Volume Type], VolumeLookup!$A$2:$J$13, 3, FALSE))
</f>
        <v>20</v>
      </c>
    </row>
    <row r="40" ht="15.75" customHeight="1">
      <c r="A40" s="4" t="s">
        <v>23</v>
      </c>
      <c r="B40" s="18">
        <f>SUMPRODUCT(Workout[Sets], VLOOKUP(Workout[Volume Type], VolumeLookup!$A$2:$J$13, 5, FALSE))
</f>
        <v>17</v>
      </c>
    </row>
    <row r="41" ht="15.75" customHeight="1">
      <c r="A41" s="4" t="s">
        <v>26</v>
      </c>
      <c r="B41" s="18">
        <f>SUMPRODUCT(Workout[Sets], VLOOKUP(Workout[Volume Type], VolumeLookup!$A$2:$J$13, 8, FALSE))
</f>
        <v>14</v>
      </c>
    </row>
    <row r="42" ht="15.75" customHeight="1">
      <c r="A42" s="4" t="s">
        <v>33</v>
      </c>
      <c r="B42" s="18">
        <f>SUMPRODUCT(Workout[Sets], VLOOKUP(Workout[Volume Type], VolumeLookup!$A$2:$J$13, 6, FALSE))
</f>
        <v>10</v>
      </c>
    </row>
    <row r="43" ht="15.75" customHeight="1">
      <c r="A43" s="4" t="s">
        <v>42</v>
      </c>
      <c r="B43" s="18">
        <f>SUMPRODUCT(Workout[Sets], VLOOKUP(Workout[Volume Type], VolumeLookup!$A$2:$J$13, 7, FALSE))
</f>
        <v>15</v>
      </c>
    </row>
    <row r="44" ht="15.75" customHeight="1">
      <c r="A44" s="4" t="s">
        <v>28</v>
      </c>
      <c r="B44" s="18">
        <f>SUMPRODUCT(Workout[Sets], VLOOKUP(Workout[Volume Type], VolumeLookup!$A$2:$J$13, 9, FALSE))
</f>
        <v>15</v>
      </c>
    </row>
    <row r="45" ht="15.75" customHeight="1">
      <c r="A45" s="4" t="s">
        <v>43</v>
      </c>
      <c r="B45" s="18">
        <f>SUMPRODUCT(Workout[Sets], VLOOKUP(Workout[Volume Type], VolumeLookup!$A$2:$K$13, 11, FALSE))
</f>
        <v>4</v>
      </c>
    </row>
    <row r="46" ht="15.75" customHeight="1">
      <c r="A46" s="4" t="s">
        <v>75</v>
      </c>
      <c r="B46" s="18">
        <f>SUMPRODUCT(Workout[Sets], VLOOKUP(Workout[Volume Type], VolumeLookup!$A$2:$J$13, 10, FALSE))
</f>
        <v>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qref="F2:F31">
      <formula1>"6-8,6-10,8-10,10-12,12-15,12-18,10-15,Myo-Match"</formula1>
    </dataValidation>
    <dataValidation type="custom" allowBlank="1" showDropDown="1" sqref="E2:E31 B37:B46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scale="49"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</cols>
  <sheetData>
    <row r="1">
      <c r="A1" s="41" t="s">
        <v>3</v>
      </c>
      <c r="B1" s="41" t="s">
        <v>13</v>
      </c>
      <c r="C1" s="41" t="s">
        <v>20</v>
      </c>
      <c r="D1" s="41" t="s">
        <v>74</v>
      </c>
      <c r="E1" s="41" t="s">
        <v>23</v>
      </c>
      <c r="F1" s="41" t="s">
        <v>33</v>
      </c>
      <c r="G1" s="41" t="s">
        <v>42</v>
      </c>
      <c r="H1" s="41" t="s">
        <v>26</v>
      </c>
      <c r="I1" s="41" t="s">
        <v>28</v>
      </c>
      <c r="J1" s="41" t="s">
        <v>75</v>
      </c>
      <c r="K1" s="42" t="s">
        <v>43</v>
      </c>
    </row>
    <row r="2">
      <c r="A2" s="43" t="s">
        <v>67</v>
      </c>
      <c r="B2" s="43">
        <v>1.0</v>
      </c>
      <c r="C2" s="43">
        <v>0.5</v>
      </c>
      <c r="D2" s="43">
        <v>0.0</v>
      </c>
      <c r="E2" s="43">
        <v>0.0</v>
      </c>
      <c r="F2" s="43">
        <v>0.0</v>
      </c>
      <c r="G2" s="43">
        <v>0.0</v>
      </c>
      <c r="H2" s="43">
        <v>0.0</v>
      </c>
      <c r="I2" s="43">
        <v>0.0</v>
      </c>
      <c r="J2" s="43">
        <v>0.0</v>
      </c>
      <c r="K2" s="43">
        <v>0.0</v>
      </c>
    </row>
    <row r="3">
      <c r="A3" s="43" t="s">
        <v>10</v>
      </c>
      <c r="B3" s="43">
        <v>0.0</v>
      </c>
      <c r="C3" s="43">
        <v>0.0</v>
      </c>
      <c r="D3" s="43">
        <v>1.0</v>
      </c>
      <c r="E3" s="43">
        <v>0.5</v>
      </c>
      <c r="F3" s="43">
        <v>0.0</v>
      </c>
      <c r="G3" s="43">
        <v>0.0</v>
      </c>
      <c r="H3" s="43">
        <v>0.0</v>
      </c>
      <c r="I3" s="43">
        <v>0.0</v>
      </c>
      <c r="J3" s="43">
        <v>0.0</v>
      </c>
      <c r="K3" s="43">
        <v>0.0</v>
      </c>
    </row>
    <row r="4">
      <c r="A4" s="43" t="s">
        <v>13</v>
      </c>
      <c r="B4" s="43">
        <v>1.0</v>
      </c>
      <c r="C4" s="43">
        <v>0.0</v>
      </c>
      <c r="D4" s="43">
        <v>0.0</v>
      </c>
      <c r="E4" s="43">
        <v>0.0</v>
      </c>
      <c r="F4" s="43">
        <v>0.0</v>
      </c>
      <c r="G4" s="43">
        <v>0.0</v>
      </c>
      <c r="H4" s="43">
        <v>0.0</v>
      </c>
      <c r="I4" s="43">
        <v>0.0</v>
      </c>
      <c r="J4" s="43">
        <v>0.0</v>
      </c>
      <c r="K4" s="43">
        <v>0.0</v>
      </c>
    </row>
    <row r="5">
      <c r="A5" s="43" t="s">
        <v>20</v>
      </c>
      <c r="B5" s="43">
        <v>0.0</v>
      </c>
      <c r="C5" s="43">
        <v>1.0</v>
      </c>
      <c r="D5" s="43">
        <v>0.0</v>
      </c>
      <c r="E5" s="43">
        <v>0.0</v>
      </c>
      <c r="F5" s="43">
        <v>0.0</v>
      </c>
      <c r="G5" s="43">
        <v>0.0</v>
      </c>
      <c r="H5" s="43">
        <v>0.0</v>
      </c>
      <c r="I5" s="43">
        <v>0.0</v>
      </c>
      <c r="J5" s="43">
        <v>0.0</v>
      </c>
      <c r="K5" s="43">
        <v>0.0</v>
      </c>
    </row>
    <row r="6">
      <c r="A6" s="43" t="s">
        <v>23</v>
      </c>
      <c r="B6" s="43">
        <v>0.0</v>
      </c>
      <c r="C6" s="43">
        <v>0.0</v>
      </c>
      <c r="D6" s="43">
        <v>0.0</v>
      </c>
      <c r="E6" s="43">
        <v>1.0</v>
      </c>
      <c r="F6" s="43">
        <v>0.0</v>
      </c>
      <c r="G6" s="43">
        <v>0.0</v>
      </c>
      <c r="H6" s="43">
        <v>0.0</v>
      </c>
      <c r="I6" s="43">
        <v>0.0</v>
      </c>
      <c r="J6" s="43">
        <v>0.0</v>
      </c>
      <c r="K6" s="43">
        <v>0.0</v>
      </c>
    </row>
    <row r="7">
      <c r="A7" s="43" t="s">
        <v>33</v>
      </c>
      <c r="B7" s="43">
        <v>0.0</v>
      </c>
      <c r="C7" s="43">
        <v>0.0</v>
      </c>
      <c r="D7" s="43">
        <v>0.0</v>
      </c>
      <c r="E7" s="43">
        <v>0.0</v>
      </c>
      <c r="F7" s="43">
        <v>1.0</v>
      </c>
      <c r="G7" s="43">
        <v>0.0</v>
      </c>
      <c r="H7" s="43">
        <v>0.0</v>
      </c>
      <c r="I7" s="43">
        <v>0.0</v>
      </c>
      <c r="J7" s="43">
        <v>0.0</v>
      </c>
      <c r="K7" s="43">
        <v>0.0</v>
      </c>
    </row>
    <row r="8">
      <c r="A8" s="43" t="s">
        <v>42</v>
      </c>
      <c r="B8" s="43">
        <v>0.0</v>
      </c>
      <c r="C8" s="43">
        <v>0.0</v>
      </c>
      <c r="D8" s="43">
        <v>0.0</v>
      </c>
      <c r="E8" s="43">
        <v>0.0</v>
      </c>
      <c r="F8" s="43">
        <v>0.0</v>
      </c>
      <c r="G8" s="43">
        <v>1.0</v>
      </c>
      <c r="H8" s="43">
        <v>0.0</v>
      </c>
      <c r="I8" s="43">
        <v>0.0</v>
      </c>
      <c r="J8" s="43">
        <v>0.0</v>
      </c>
      <c r="K8" s="43">
        <v>0.0</v>
      </c>
    </row>
    <row r="9">
      <c r="A9" s="43" t="s">
        <v>26</v>
      </c>
      <c r="B9" s="43">
        <v>0.0</v>
      </c>
      <c r="C9" s="43">
        <v>0.0</v>
      </c>
      <c r="D9" s="43">
        <v>0.0</v>
      </c>
      <c r="E9" s="43">
        <v>0.0</v>
      </c>
      <c r="F9" s="43">
        <v>0.0</v>
      </c>
      <c r="G9" s="43">
        <v>0.0</v>
      </c>
      <c r="H9" s="43">
        <v>1.0</v>
      </c>
      <c r="I9" s="43">
        <v>0.0</v>
      </c>
      <c r="J9" s="43">
        <v>0.0</v>
      </c>
      <c r="K9" s="43">
        <v>0.0</v>
      </c>
    </row>
    <row r="10">
      <c r="A10" s="43" t="s">
        <v>28</v>
      </c>
      <c r="B10" s="43">
        <v>0.0</v>
      </c>
      <c r="C10" s="43">
        <v>0.0</v>
      </c>
      <c r="D10" s="43">
        <v>0.0</v>
      </c>
      <c r="E10" s="43">
        <v>0.0</v>
      </c>
      <c r="F10" s="43">
        <v>0.0</v>
      </c>
      <c r="G10" s="43">
        <v>0.0</v>
      </c>
      <c r="H10" s="43">
        <v>0.0</v>
      </c>
      <c r="I10" s="43">
        <v>1.0</v>
      </c>
      <c r="J10" s="43">
        <v>0.0</v>
      </c>
      <c r="K10" s="43">
        <v>0.0</v>
      </c>
    </row>
    <row r="11">
      <c r="A11" s="43" t="s">
        <v>59</v>
      </c>
      <c r="B11" s="43">
        <v>0.0</v>
      </c>
      <c r="C11" s="43">
        <v>0.0</v>
      </c>
      <c r="D11" s="43">
        <v>0.0</v>
      </c>
      <c r="E11" s="43">
        <v>0.0</v>
      </c>
      <c r="F11" s="43">
        <v>0.0</v>
      </c>
      <c r="G11" s="43">
        <v>0.5</v>
      </c>
      <c r="H11" s="43">
        <v>0.0</v>
      </c>
      <c r="I11" s="43">
        <v>0.0</v>
      </c>
      <c r="J11" s="43">
        <v>1.0</v>
      </c>
      <c r="K11" s="43">
        <v>0.0</v>
      </c>
    </row>
    <row r="12">
      <c r="A12" s="43" t="s">
        <v>37</v>
      </c>
      <c r="B12" s="43">
        <v>0.0</v>
      </c>
      <c r="C12" s="43">
        <v>0.0</v>
      </c>
      <c r="D12" s="43">
        <v>0.0</v>
      </c>
      <c r="E12" s="43">
        <v>0.0</v>
      </c>
      <c r="F12" s="43">
        <v>0.0</v>
      </c>
      <c r="G12" s="43">
        <v>1.0</v>
      </c>
      <c r="H12" s="43">
        <v>0.0</v>
      </c>
      <c r="I12" s="43">
        <v>0.0</v>
      </c>
      <c r="J12" s="43">
        <v>0.5</v>
      </c>
      <c r="K12" s="43">
        <v>0.0</v>
      </c>
    </row>
    <row r="13">
      <c r="A13" s="43" t="s">
        <v>43</v>
      </c>
      <c r="B13" s="43">
        <v>0.0</v>
      </c>
      <c r="C13" s="43">
        <v>0.0</v>
      </c>
      <c r="D13" s="43">
        <v>0.0</v>
      </c>
      <c r="E13" s="43">
        <v>0.0</v>
      </c>
      <c r="F13" s="43">
        <v>0.0</v>
      </c>
      <c r="G13" s="43">
        <v>0.0</v>
      </c>
      <c r="H13" s="43">
        <v>0.0</v>
      </c>
      <c r="I13" s="43">
        <v>0.0</v>
      </c>
      <c r="J13" s="43">
        <v>0.0</v>
      </c>
      <c r="K13" s="43">
        <v>1.0</v>
      </c>
    </row>
  </sheetData>
  <drawing r:id="rId1"/>
</worksheet>
</file>